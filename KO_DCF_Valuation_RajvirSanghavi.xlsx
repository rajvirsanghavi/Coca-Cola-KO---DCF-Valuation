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1\Desktop\"/>
    </mc:Choice>
  </mc:AlternateContent>
  <xr:revisionPtr revIDLastSave="0" documentId="8_{4D248D90-13BE-4532-B8F2-4EFF4ED5E86B}" xr6:coauthVersionLast="47" xr6:coauthVersionMax="47" xr10:uidLastSave="{00000000-0000-0000-0000-000000000000}"/>
  <bookViews>
    <workbookView xWindow="-108" yWindow="-108" windowWidth="23256" windowHeight="12456" xr2:uid="{CEC36BF7-AF37-47C2-BB22-0805AAB049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B26" i="1"/>
  <c r="B25" i="1"/>
  <c r="B24" i="1"/>
  <c r="B23" i="1"/>
  <c r="I22" i="1"/>
  <c r="H22" i="1"/>
  <c r="G22" i="1"/>
  <c r="F22" i="1"/>
  <c r="E22" i="1"/>
  <c r="I21" i="1"/>
  <c r="H21" i="1"/>
  <c r="G21" i="1"/>
  <c r="F21" i="1"/>
  <c r="E21" i="1"/>
  <c r="I18" i="1"/>
  <c r="H18" i="1"/>
  <c r="G18" i="1"/>
  <c r="F18" i="1"/>
  <c r="E18" i="1"/>
  <c r="I17" i="1"/>
  <c r="H17" i="1"/>
  <c r="G17" i="1"/>
  <c r="F17" i="1"/>
  <c r="E17" i="1"/>
  <c r="D6" i="1"/>
  <c r="C6" i="1"/>
  <c r="B6" i="1"/>
</calcChain>
</file>

<file path=xl/sharedStrings.xml><?xml version="1.0" encoding="utf-8"?>
<sst xmlns="http://schemas.openxmlformats.org/spreadsheetml/2006/main" count="30" uniqueCount="30">
  <si>
    <t>Coca-Cola(KO) - DCF Valuation Model</t>
  </si>
  <si>
    <t>Year</t>
  </si>
  <si>
    <t>2025E</t>
  </si>
  <si>
    <t>2026E</t>
  </si>
  <si>
    <t>2027E</t>
  </si>
  <si>
    <t>2028E</t>
  </si>
  <si>
    <t>2029E</t>
  </si>
  <si>
    <t>Revenue ($B)</t>
  </si>
  <si>
    <t>Free Cash Flow ($B)</t>
  </si>
  <si>
    <t>FCF Margin %</t>
  </si>
  <si>
    <t>Note: 2024 FCF impacted by one-time IRS tax settlement</t>
  </si>
  <si>
    <t>ASSUMPTIONS</t>
  </si>
  <si>
    <t>Revenue Growth Rate</t>
  </si>
  <si>
    <t>FCF Margin (Normalized)</t>
  </si>
  <si>
    <t>Discount Rate (WACC)</t>
  </si>
  <si>
    <t>Terminal Growth Rate</t>
  </si>
  <si>
    <t>PROJECTIONS</t>
  </si>
  <si>
    <t>Projected Revenue ($B)</t>
  </si>
  <si>
    <t>Projected FCF ($B)</t>
  </si>
  <si>
    <t>VALUATION</t>
  </si>
  <si>
    <t>Discount Factors</t>
  </si>
  <si>
    <t>Discounted FCF ($B)</t>
  </si>
  <si>
    <t>Sum of Discounted FCF ($B)</t>
  </si>
  <si>
    <t>Terminal Value ($B)</t>
  </si>
  <si>
    <t>PV of Terminal  Value ($B)</t>
  </si>
  <si>
    <t>Enterprise Value ($B)</t>
  </si>
  <si>
    <t>Shares Outstanding (B)</t>
  </si>
  <si>
    <t>Intrinsic Value per Share ($)</t>
  </si>
  <si>
    <t>Market Price: $81.63 | Model Price: $47.77 | Premium: 41%</t>
  </si>
  <si>
    <t>Sensitivity: Every 1% change in WACC moves intrinsic value by ~$8/share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</si>
</sst>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0" xfId="0" applyFont="1" applyFill="1"/>
    <xf numFmtId="9" fontId="0" fillId="0" borderId="0" xfId="1" applyFont="1"/>
    <xf numFmtId="0" fontId="4" fillId="0" borderId="0" xfId="0" applyFont="1"/>
    <xf numFmtId="0" fontId="5" fillId="0" borderId="0" xfId="0" applyFont="1"/>
    <xf numFmtId="168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E8EE5-06B9-4FD7-954B-747CA3F4EA30}">
  <dimension ref="A1:I31"/>
  <sheetViews>
    <sheetView tabSelected="1" topLeftCell="A11" workbookViewId="0">
      <selection activeCell="A34" sqref="A34"/>
    </sheetView>
  </sheetViews>
  <sheetFormatPr defaultColWidth="10.77734375" defaultRowHeight="14.4" x14ac:dyDescent="0.3"/>
  <cols>
    <col min="1" max="1" width="48.44140625" bestFit="1" customWidth="1"/>
    <col min="2" max="2" width="6" bestFit="1" customWidth="1"/>
    <col min="3" max="4" width="5" bestFit="1" customWidth="1"/>
    <col min="5" max="9" width="6" bestFit="1" customWidth="1"/>
  </cols>
  <sheetData>
    <row r="1" spans="1:9" ht="21" x14ac:dyDescent="0.4">
      <c r="A1" s="1" t="s">
        <v>0</v>
      </c>
    </row>
    <row r="3" spans="1:9" x14ac:dyDescent="0.3">
      <c r="A3" s="3" t="s">
        <v>1</v>
      </c>
      <c r="B3" s="3">
        <v>2022</v>
      </c>
      <c r="C3" s="3">
        <v>2023</v>
      </c>
      <c r="D3" s="3">
        <v>2024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</row>
    <row r="4" spans="1:9" x14ac:dyDescent="0.3">
      <c r="A4" s="2" t="s">
        <v>7</v>
      </c>
      <c r="B4">
        <v>42.99</v>
      </c>
      <c r="C4">
        <v>45.75</v>
      </c>
      <c r="D4">
        <v>47.06</v>
      </c>
    </row>
    <row r="5" spans="1:9" x14ac:dyDescent="0.3">
      <c r="A5" s="2" t="s">
        <v>8</v>
      </c>
      <c r="B5">
        <v>9.609</v>
      </c>
      <c r="C5">
        <v>9.8209999999999997</v>
      </c>
      <c r="D5">
        <v>4.7809999999999997</v>
      </c>
    </row>
    <row r="6" spans="1:9" x14ac:dyDescent="0.3">
      <c r="A6" s="2" t="s">
        <v>9</v>
      </c>
      <c r="B6" s="4">
        <f>B5/B4</f>
        <v>0.22351709699930214</v>
      </c>
      <c r="C6" s="4">
        <f>C5/C4</f>
        <v>0.21466666666666667</v>
      </c>
      <c r="D6" s="4">
        <f>D5/D4</f>
        <v>0.10159371015724605</v>
      </c>
    </row>
    <row r="8" spans="1:9" x14ac:dyDescent="0.3">
      <c r="A8" s="5" t="s">
        <v>10</v>
      </c>
    </row>
    <row r="10" spans="1:9" x14ac:dyDescent="0.3">
      <c r="A10" s="6" t="s">
        <v>11</v>
      </c>
    </row>
    <row r="11" spans="1:9" x14ac:dyDescent="0.3">
      <c r="A11" t="s">
        <v>12</v>
      </c>
      <c r="B11" s="4">
        <v>0.05</v>
      </c>
    </row>
    <row r="12" spans="1:9" x14ac:dyDescent="0.3">
      <c r="A12" t="s">
        <v>13</v>
      </c>
      <c r="B12" s="4">
        <v>0.21</v>
      </c>
    </row>
    <row r="13" spans="1:9" x14ac:dyDescent="0.3">
      <c r="A13" t="s">
        <v>14</v>
      </c>
      <c r="B13" s="4">
        <v>0.08</v>
      </c>
    </row>
    <row r="14" spans="1:9" x14ac:dyDescent="0.3">
      <c r="A14" t="s">
        <v>15</v>
      </c>
      <c r="B14" s="7">
        <v>2.5000000000000001E-2</v>
      </c>
    </row>
    <row r="16" spans="1:9" x14ac:dyDescent="0.3">
      <c r="A16" s="6" t="s">
        <v>16</v>
      </c>
    </row>
    <row r="17" spans="1:9" x14ac:dyDescent="0.3">
      <c r="A17" t="s">
        <v>17</v>
      </c>
      <c r="E17">
        <f>D4*(1+$B$11)</f>
        <v>49.413000000000004</v>
      </c>
      <c r="F17">
        <f>E17*(1+$B$11)</f>
        <v>51.883650000000003</v>
      </c>
      <c r="G17">
        <f>F17*(1+$B$11)</f>
        <v>54.477832500000005</v>
      </c>
      <c r="H17">
        <f>G17*(1+$B$11)</f>
        <v>57.201724125000005</v>
      </c>
      <c r="I17">
        <f>H17*(1+$B$11)</f>
        <v>60.061810331250008</v>
      </c>
    </row>
    <row r="18" spans="1:9" x14ac:dyDescent="0.3">
      <c r="A18" t="s">
        <v>18</v>
      </c>
      <c r="E18">
        <f>E17*$B$12</f>
        <v>10.37673</v>
      </c>
      <c r="F18">
        <f>F17*$B$12</f>
        <v>10.895566500000001</v>
      </c>
      <c r="G18">
        <f>G17*$B$12</f>
        <v>11.440344825</v>
      </c>
      <c r="H18">
        <f>H17*$B$12</f>
        <v>12.012362066250001</v>
      </c>
      <c r="I18">
        <f>I17*$B$12</f>
        <v>12.612980169562501</v>
      </c>
    </row>
    <row r="20" spans="1:9" x14ac:dyDescent="0.3">
      <c r="A20" s="6" t="s">
        <v>19</v>
      </c>
    </row>
    <row r="21" spans="1:9" x14ac:dyDescent="0.3">
      <c r="A21" t="s">
        <v>20</v>
      </c>
      <c r="E21">
        <f>1/(1+$B$13)^1</f>
        <v>0.92592592592592582</v>
      </c>
      <c r="F21">
        <f>1/(1+$B$13)^2</f>
        <v>0.85733882030178321</v>
      </c>
      <c r="G21">
        <f>1/(1+$B$13)^3</f>
        <v>0.79383224102016958</v>
      </c>
      <c r="H21">
        <f>1/(1+$B$13)^4</f>
        <v>0.73502985279645328</v>
      </c>
      <c r="I21">
        <f>1/(1+$B$13)^5</f>
        <v>0.68058319703375303</v>
      </c>
    </row>
    <row r="22" spans="1:9" x14ac:dyDescent="0.3">
      <c r="A22" t="s">
        <v>21</v>
      </c>
      <c r="E22">
        <f>E18*E21</f>
        <v>9.6080833333333331</v>
      </c>
      <c r="F22">
        <f>F18*F21</f>
        <v>9.3411921296296292</v>
      </c>
      <c r="G22">
        <f>G18*G21</f>
        <v>9.0817145704732507</v>
      </c>
      <c r="H22">
        <f>H18*H21</f>
        <v>8.8294447212934379</v>
      </c>
      <c r="I22">
        <f>I18*I21</f>
        <v>8.5841823679241749</v>
      </c>
    </row>
    <row r="23" spans="1:9" x14ac:dyDescent="0.3">
      <c r="A23" t="s">
        <v>22</v>
      </c>
      <c r="B23">
        <f>SUM(E22:I22)</f>
        <v>45.444617122653824</v>
      </c>
    </row>
    <row r="24" spans="1:9" x14ac:dyDescent="0.3">
      <c r="A24" t="s">
        <v>23</v>
      </c>
      <c r="B24">
        <f>I18*(1+$B$14)/($B$13-$B$14)</f>
        <v>235.06008497821023</v>
      </c>
    </row>
    <row r="25" spans="1:9" x14ac:dyDescent="0.3">
      <c r="A25" t="s">
        <v>24</v>
      </c>
      <c r="B25">
        <f>B24*I21</f>
        <v>159.977944129496</v>
      </c>
    </row>
    <row r="26" spans="1:9" x14ac:dyDescent="0.3">
      <c r="A26" t="s">
        <v>25</v>
      </c>
      <c r="B26">
        <f>B23+B25</f>
        <v>205.42256125214982</v>
      </c>
    </row>
    <row r="27" spans="1:9" x14ac:dyDescent="0.3">
      <c r="A27" t="s">
        <v>26</v>
      </c>
      <c r="B27">
        <v>4.3</v>
      </c>
    </row>
    <row r="28" spans="1:9" x14ac:dyDescent="0.3">
      <c r="A28" t="s">
        <v>27</v>
      </c>
      <c r="B28">
        <f>B26/B27</f>
        <v>47.772688663290658</v>
      </c>
    </row>
    <row r="30" spans="1:9" x14ac:dyDescent="0.3">
      <c r="A30" t="s">
        <v>28</v>
      </c>
    </row>
    <row r="31" spans="1:9" x14ac:dyDescent="0.3">
      <c r="A31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ABC1</dc:creator>
  <cp:lastModifiedBy>ABC1</cp:lastModifiedBy>
  <dcterms:created xsi:type="dcterms:W3CDTF">2026-06-27T07:55:48Z</dcterms:created>
  <dcterms:modified xsi:type="dcterms:W3CDTF">2026-06-27T08:40:18Z</dcterms:modified>
</cp:coreProperties>
</file>